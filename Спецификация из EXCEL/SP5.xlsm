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0" yWindow="0" windowWidth="21600" windowHeight="9525"/>
  </bookViews>
  <sheets>
    <sheet name="Лист1" sheetId="1" r:id="rId1"/>
    <sheet name="Лист2" sheetId="2" r:id="rId2"/>
  </sheets>
  <calcPr calcId="145621"/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1" i="1"/>
  <c r="C18" i="1" l="1"/>
  <c r="C19" i="1"/>
  <c r="C25" i="1" l="1"/>
  <c r="C29" i="1"/>
  <c r="C33" i="1"/>
  <c r="C22" i="1"/>
  <c r="C26" i="1"/>
  <c r="C30" i="1"/>
  <c r="C34" i="1"/>
  <c r="C23" i="1"/>
  <c r="C27" i="1"/>
  <c r="C31" i="1"/>
  <c r="C21" i="1"/>
  <c r="C24" i="1"/>
  <c r="C28" i="1"/>
  <c r="C32" i="1"/>
  <c r="C36" i="1" l="1"/>
  <c r="C37" i="1"/>
  <c r="C38" i="1"/>
  <c r="C43" i="1" l="1"/>
  <c r="C40" i="1"/>
  <c r="C41" i="1"/>
  <c r="C42" i="1"/>
</calcChain>
</file>

<file path=xl/sharedStrings.xml><?xml version="1.0" encoding="utf-8"?>
<sst xmlns="http://schemas.openxmlformats.org/spreadsheetml/2006/main" count="82" uniqueCount="72">
  <si>
    <t>А1</t>
  </si>
  <si>
    <t>Документация</t>
  </si>
  <si>
    <t>ДеталиНаименование_1111111</t>
  </si>
  <si>
    <t>ДеталиНаименование_211111111</t>
  </si>
  <si>
    <t>Детали</t>
  </si>
  <si>
    <t>Комплексы</t>
  </si>
  <si>
    <t>Сборочные единицы</t>
  </si>
  <si>
    <t>Стандартные изделия</t>
  </si>
  <si>
    <t>Прочие изделия</t>
  </si>
  <si>
    <t>Материалы</t>
  </si>
  <si>
    <t>Комплекты</t>
  </si>
  <si>
    <t>Т2303.00.00.00 СБ</t>
  </si>
  <si>
    <t>Сборочный чертеж</t>
  </si>
  <si>
    <t>Т2303.00.00.00 МЧ</t>
  </si>
  <si>
    <t>Монтажный чертеж</t>
  </si>
  <si>
    <t>А4</t>
  </si>
  <si>
    <t>Т2303.00.00.00 РЭ</t>
  </si>
  <si>
    <t>Руководство по эксплуатации</t>
  </si>
  <si>
    <t>Т2303.00.00.00 ПС</t>
  </si>
  <si>
    <t>Паспорт</t>
  </si>
  <si>
    <t xml:space="preserve">Т2303.00.10.00 </t>
  </si>
  <si>
    <t>Бак</t>
  </si>
  <si>
    <t xml:space="preserve">Т2303.00.20.00 </t>
  </si>
  <si>
    <t>Активная часть</t>
  </si>
  <si>
    <t xml:space="preserve">Т2303.00.40.00 </t>
  </si>
  <si>
    <t>Расширитель</t>
  </si>
  <si>
    <t xml:space="preserve">Т2303.00.50.00 </t>
  </si>
  <si>
    <t>Система охлаждения</t>
  </si>
  <si>
    <t xml:space="preserve">Т2303.00.60.00 </t>
  </si>
  <si>
    <t>Вторичные цепи</t>
  </si>
  <si>
    <t>А3</t>
  </si>
  <si>
    <t xml:space="preserve">Т2303.00.80.00 </t>
  </si>
  <si>
    <t>Трубопровод воздухоосушителя</t>
  </si>
  <si>
    <t>Т2299.00.00.01</t>
  </si>
  <si>
    <t>Шпилька</t>
  </si>
  <si>
    <t>А2</t>
  </si>
  <si>
    <t>Т2303.00.00.05</t>
  </si>
  <si>
    <t>Табличка паспортная</t>
  </si>
  <si>
    <t>Болт М12-6g x 55.58.096 ГОСТ 7798-70</t>
  </si>
  <si>
    <t>Болт М16-6g x 30.58.096 ГОСТ 7798-70</t>
  </si>
  <si>
    <t>Болт М20-6g x 65.58.096 ГОСТ 7798-70</t>
  </si>
  <si>
    <t>Кольцо 048-056-46-2-2 ГОСТ 9833/ГОСТ 18829-73</t>
  </si>
  <si>
    <t>Кольцо 070-080-58-2-2 ГОСТ 9833/ГОСТ 18829-73</t>
  </si>
  <si>
    <t>Шайба 12 65Г.096 ГОСТ 6402-70</t>
  </si>
  <si>
    <t>Шайба 16 65Г.096 ГОСТ 6402-70</t>
  </si>
  <si>
    <t>Шайба A  16.01.10.096 ГОСТ 6958-78</t>
  </si>
  <si>
    <t>Шайба A. 12.01.10.096 ГОСТ 11371-78</t>
  </si>
  <si>
    <t>Шайба A. 20.01.10.096 ГОСТ 11371-78</t>
  </si>
  <si>
    <t>АВТР.ВС30.000 СБ</t>
  </si>
  <si>
    <t>комплектно с уплотнителем</t>
  </si>
  <si>
    <t>Реле Бухгольца ET050420N</t>
  </si>
  <si>
    <t>"Cedaspe"</t>
  </si>
  <si>
    <t>кг</t>
  </si>
  <si>
    <t>Силикагель КСКГ ГОСТ ГОСТ 3956-76</t>
  </si>
  <si>
    <t>Силикагель-индикатор ГОСТ 8984-75</t>
  </si>
  <si>
    <t>м</t>
  </si>
  <si>
    <t>Воздухоосушитель VS30</t>
  </si>
  <si>
    <t>Формат</t>
  </si>
  <si>
    <t>Зона</t>
  </si>
  <si>
    <t>Позиция</t>
  </si>
  <si>
    <t>Обозначение</t>
  </si>
  <si>
    <t>Наименование</t>
  </si>
  <si>
    <t>Количество</t>
  </si>
  <si>
    <t>Примечание</t>
  </si>
  <si>
    <r>
      <t xml:space="preserve">Гайка шестигранная низкая
</t>
    </r>
    <r>
      <rPr>
        <i/>
        <sz val="11"/>
        <color indexed="8"/>
        <rFont val="GOST type A"/>
        <family val="2"/>
        <charset val="204"/>
      </rPr>
      <t>ГОСТ ISO 4035-М12-6-A2P</t>
    </r>
  </si>
  <si>
    <r>
      <t xml:space="preserve">Гайка шестигранная нормальная 
</t>
    </r>
    <r>
      <rPr>
        <i/>
        <sz val="11"/>
        <color indexed="8"/>
        <rFont val="GOST type A"/>
        <family val="2"/>
        <charset val="204"/>
      </rPr>
      <t>ГОСТ ISO 4032-М12-6-A2P</t>
    </r>
  </si>
  <si>
    <r>
      <t xml:space="preserve">Гайка шестигранная нормальная 
</t>
    </r>
    <r>
      <rPr>
        <i/>
        <sz val="11"/>
        <color indexed="8"/>
        <rFont val="GOST type A"/>
        <family val="2"/>
        <charset val="204"/>
      </rPr>
      <t>ГОСТ ISO 4032-М20-6-A2P</t>
    </r>
  </si>
  <si>
    <r>
      <t xml:space="preserve">Заклепка вытяжная (стандартный буртик)
</t>
    </r>
    <r>
      <rPr>
        <i/>
        <sz val="11"/>
        <color indexed="8"/>
        <rFont val="GOST type A"/>
        <family val="2"/>
        <charset val="204"/>
      </rPr>
      <t>Алюминий/Сталь 3,0ģ10</t>
    </r>
    <r>
      <rPr>
        <i/>
        <sz val="11"/>
        <color theme="1"/>
        <rFont val="GOST type A"/>
        <family val="2"/>
        <charset val="204"/>
      </rPr>
      <t xml:space="preserve">
</t>
    </r>
    <r>
      <rPr>
        <i/>
        <sz val="11"/>
        <color indexed="8"/>
        <rFont val="GOST type A"/>
        <family val="2"/>
        <charset val="204"/>
      </rPr>
      <t>Rivet DIN 7337 - A3x10 - Al-St-A1P</t>
    </r>
  </si>
  <si>
    <r>
      <t xml:space="preserve">Масло трансформаторное
</t>
    </r>
    <r>
      <rPr>
        <i/>
        <sz val="11"/>
        <color indexed="8"/>
        <rFont val="GOST type A"/>
        <family val="2"/>
        <charset val="204"/>
      </rPr>
      <t xml:space="preserve">ГК ТУ 38.1011025-85 </t>
    </r>
  </si>
  <si>
    <r>
      <t xml:space="preserve">Шнур </t>
    </r>
    <r>
      <rPr>
        <i/>
        <sz val="11"/>
        <color indexed="8"/>
        <rFont val="GOST type A"/>
        <family val="2"/>
        <charset val="204"/>
      </rPr>
      <t>12 Nitrile BS2751 BA70 cord</t>
    </r>
  </si>
  <si>
    <t>Хомут трубный 1" (31-38) с гайкой М12 (хомут трубный тяжелой нагрузки В) TR1M12HDB51</t>
  </si>
  <si>
    <t>Резервные строки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</si>
</sst>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i/>
      <sz val="16"/>
      <color theme="1"/>
      <name val="GOST type A"/>
      <family val="2"/>
      <charset val="204"/>
    </font>
    <font>
      <i/>
      <sz val="11"/>
      <color theme="1"/>
      <name val="GOST type A"/>
      <family val="2"/>
      <charset val="204"/>
    </font>
    <font>
      <i/>
      <sz val="11"/>
      <color indexed="8"/>
      <name val="GOST type A"/>
      <family val="2"/>
      <charset val="204"/>
    </font>
    <font>
      <sz val="11"/>
      <color rgb="FF006100"/>
      <name val="Calibri"/>
      <family val="2"/>
      <charset val="204"/>
      <scheme val="minor"/>
    </font>
    <font>
      <b/>
      <i/>
      <sz val="16"/>
      <color rgb="FF006100"/>
      <name val="GOST type A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13" borderId="0" applyNumberFormat="0" applyBorder="0" applyAlignment="0" applyProtection="0"/>
  </cellStyleXfs>
  <cellXfs count="80">
    <xf numFmtId="0" fontId="0" fillId="0" borderId="0" xfId="0"/>
    <xf numFmtId="0" fontId="0" fillId="12" borderId="0" xfId="0" applyFill="1" applyBorder="1"/>
    <xf numFmtId="0" fontId="0" fillId="12" borderId="0" xfId="0" applyFill="1"/>
    <xf numFmtId="0" fontId="0" fillId="12" borderId="0" xfId="0" applyFill="1" applyBorder="1" applyAlignment="1">
      <alignment vertical="center"/>
    </xf>
    <xf numFmtId="0" fontId="0" fillId="12" borderId="0" xfId="0" applyFill="1" applyAlignment="1">
      <alignment vertical="center"/>
    </xf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right" vertical="center"/>
    </xf>
    <xf numFmtId="0" fontId="2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left" vertical="center"/>
    </xf>
    <xf numFmtId="0" fontId="2" fillId="11" borderId="1" xfId="0" applyFont="1" applyFill="1" applyBorder="1" applyAlignment="1">
      <alignment horizontal="right" vertical="center"/>
    </xf>
    <xf numFmtId="0" fontId="2" fillId="11" borderId="1" xfId="0" applyFont="1" applyFill="1" applyBorder="1" applyAlignment="1">
      <alignment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right" vertical="center"/>
    </xf>
    <xf numFmtId="0" fontId="2" fillId="8" borderId="1" xfId="0" applyFont="1" applyFill="1" applyBorder="1" applyAlignment="1">
      <alignment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left" vertical="center"/>
    </xf>
    <xf numFmtId="0" fontId="2" fillId="8" borderId="2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right" vertical="center"/>
    </xf>
    <xf numFmtId="0" fontId="2" fillId="9" borderId="1" xfId="0" applyFont="1" applyFill="1" applyBorder="1" applyAlignment="1">
      <alignment vertical="center"/>
    </xf>
    <xf numFmtId="0" fontId="2" fillId="9" borderId="1" xfId="0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vertical="center" wrapText="1"/>
    </xf>
    <xf numFmtId="0" fontId="2" fillId="9" borderId="1" xfId="0" applyFont="1" applyFill="1" applyBorder="1" applyAlignment="1">
      <alignment horizontal="left" vertical="center"/>
    </xf>
    <xf numFmtId="0" fontId="2" fillId="9" borderId="2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right"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vertical="center" wrapText="1"/>
    </xf>
    <xf numFmtId="0" fontId="2" fillId="6" borderId="1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center" vertical="center" wrapText="1"/>
    </xf>
    <xf numFmtId="49" fontId="2" fillId="6" borderId="1" xfId="0" applyNumberFormat="1" applyFont="1" applyFill="1" applyBorder="1" applyAlignment="1">
      <alignment vertical="center"/>
    </xf>
    <xf numFmtId="49" fontId="2" fillId="6" borderId="2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right" vertical="center"/>
    </xf>
    <xf numFmtId="0" fontId="2" fillId="10" borderId="1" xfId="0" applyFont="1" applyFill="1" applyBorder="1" applyAlignment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6" borderId="1" xfId="0" applyNumberFormat="1" applyFont="1" applyFill="1" applyBorder="1" applyAlignment="1">
      <alignment horizontal="left" vertical="center"/>
    </xf>
    <xf numFmtId="49" fontId="2" fillId="8" borderId="1" xfId="0" applyNumberFormat="1" applyFont="1" applyFill="1" applyBorder="1" applyAlignment="1">
      <alignment vertical="center" wrapText="1"/>
    </xf>
    <xf numFmtId="0" fontId="5" fillId="13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</cellXfs>
  <cellStyles count="2">
    <cellStyle name="Обычный" xfId="0" builtinId="0"/>
    <cellStyle name="Хороший" xfId="1" builtinId="26"/>
  </cellStyles>
  <dxfs count="0"/>
  <tableStyles count="0" defaultTableStyle="TableStyleMedium2" defaultPivotStyle="PivotStyleMedium9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100"/>
  <sheetViews>
    <sheetView tabSelected="1" zoomScaleNormal="100" workbookViewId="0">
      <pane ySplit="1" topLeftCell="A2" activePane="bottomLeft" state="frozen"/>
      <selection pane="bottomLeft" activeCell="F41" sqref="F41"/>
    </sheetView>
  </sheetViews>
  <sheetFormatPr defaultRowHeight="20.25" x14ac:dyDescent="0.25"/>
  <cols>
    <col min="1" max="1" width="11.140625" style="64" customWidth="1"/>
    <col min="2" max="2" width="9.140625" style="65"/>
    <col min="3" max="3" width="13.42578125" style="65" customWidth="1"/>
    <col min="4" max="4" width="24.7109375" style="66" customWidth="1"/>
    <col min="5" max="5" width="55.7109375" style="65" customWidth="1"/>
    <col min="6" max="6" width="16.7109375" style="14" customWidth="1"/>
    <col min="7" max="7" width="18.140625" style="15" customWidth="1"/>
    <col min="8" max="8" width="30.5703125" style="70" customWidth="1"/>
    <col min="9" max="25" width="9.140625" style="1"/>
    <col min="26" max="27" width="9.140625" style="2"/>
  </cols>
  <sheetData>
    <row r="1" spans="1:27" s="5" customFormat="1" ht="39" customHeight="1" x14ac:dyDescent="0.25">
      <c r="A1" s="6" t="s">
        <v>57</v>
      </c>
      <c r="B1" s="7" t="s">
        <v>58</v>
      </c>
      <c r="C1" s="7" t="s">
        <v>59</v>
      </c>
      <c r="D1" s="8" t="s">
        <v>60</v>
      </c>
      <c r="E1" s="8" t="s">
        <v>61</v>
      </c>
      <c r="F1" s="9" t="s">
        <v>62</v>
      </c>
      <c r="G1" s="10" t="s">
        <v>63</v>
      </c>
      <c r="H1" s="69" t="s">
        <v>71</v>
      </c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4"/>
      <c r="AA1" s="4"/>
    </row>
    <row r="2" spans="1:27" s="5" customFormat="1" x14ac:dyDescent="0.25">
      <c r="A2" s="11"/>
      <c r="B2" s="12"/>
      <c r="C2" s="12"/>
      <c r="D2" s="13"/>
      <c r="E2" s="71" t="s">
        <v>1</v>
      </c>
      <c r="F2" s="14"/>
      <c r="G2" s="15"/>
      <c r="H2" s="72">
        <v>2</v>
      </c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4"/>
      <c r="AA2" s="4"/>
    </row>
    <row r="3" spans="1:27" s="5" customFormat="1" x14ac:dyDescent="0.25">
      <c r="A3" s="16" t="s">
        <v>0</v>
      </c>
      <c r="B3" s="17"/>
      <c r="C3" s="17"/>
      <c r="D3" s="18" t="s">
        <v>11</v>
      </c>
      <c r="E3" s="17" t="s">
        <v>12</v>
      </c>
      <c r="F3" s="19"/>
      <c r="G3" s="20"/>
      <c r="H3" s="70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4"/>
      <c r="AA3" s="4"/>
    </row>
    <row r="4" spans="1:27" s="5" customFormat="1" x14ac:dyDescent="0.25">
      <c r="A4" s="16" t="s">
        <v>0</v>
      </c>
      <c r="B4" s="17"/>
      <c r="C4" s="17"/>
      <c r="D4" s="18" t="s">
        <v>13</v>
      </c>
      <c r="E4" s="17" t="s">
        <v>14</v>
      </c>
      <c r="F4" s="19"/>
      <c r="G4" s="20"/>
      <c r="H4" s="70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4"/>
      <c r="AA4" s="4"/>
    </row>
    <row r="5" spans="1:27" s="5" customFormat="1" x14ac:dyDescent="0.25">
      <c r="A5" s="16" t="s">
        <v>15</v>
      </c>
      <c r="B5" s="17"/>
      <c r="C5" s="17"/>
      <c r="D5" s="18" t="s">
        <v>16</v>
      </c>
      <c r="E5" s="17" t="s">
        <v>17</v>
      </c>
      <c r="F5" s="19"/>
      <c r="G5" s="20"/>
      <c r="H5" s="70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4"/>
      <c r="AA5" s="4"/>
    </row>
    <row r="6" spans="1:27" s="5" customFormat="1" x14ac:dyDescent="0.25">
      <c r="A6" s="16" t="s">
        <v>15</v>
      </c>
      <c r="B6" s="17"/>
      <c r="C6" s="17"/>
      <c r="D6" s="18" t="s">
        <v>18</v>
      </c>
      <c r="E6" s="17" t="s">
        <v>19</v>
      </c>
      <c r="F6" s="19"/>
      <c r="G6" s="20"/>
      <c r="H6" s="70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4"/>
      <c r="AA6" s="4"/>
    </row>
    <row r="7" spans="1:27" s="5" customFormat="1" x14ac:dyDescent="0.25">
      <c r="A7" s="11"/>
      <c r="B7" s="12"/>
      <c r="C7" s="12"/>
      <c r="D7" s="13"/>
      <c r="E7" s="73" t="s">
        <v>5</v>
      </c>
      <c r="F7" s="22"/>
      <c r="G7" s="15"/>
      <c r="H7" s="72">
        <v>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7" s="5" customFormat="1" x14ac:dyDescent="0.25">
      <c r="A8" s="23"/>
      <c r="B8" s="24"/>
      <c r="C8" s="24"/>
      <c r="D8" s="25"/>
      <c r="E8" s="21"/>
      <c r="F8" s="26"/>
      <c r="G8" s="27"/>
      <c r="H8" s="70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7" s="5" customFormat="1" x14ac:dyDescent="0.25">
      <c r="A9" s="23"/>
      <c r="B9" s="24"/>
      <c r="C9" s="24"/>
      <c r="D9" s="25"/>
      <c r="E9" s="21"/>
      <c r="F9" s="26"/>
      <c r="G9" s="27"/>
      <c r="H9" s="70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7" s="5" customFormat="1" x14ac:dyDescent="0.25">
      <c r="A10" s="11"/>
      <c r="B10" s="12"/>
      <c r="C10" s="12"/>
      <c r="D10" s="13"/>
      <c r="E10" s="74" t="s">
        <v>6</v>
      </c>
      <c r="F10" s="14"/>
      <c r="G10" s="15"/>
      <c r="H10" s="72">
        <v>2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7" s="5" customFormat="1" x14ac:dyDescent="0.25">
      <c r="A11" s="28" t="s">
        <v>15</v>
      </c>
      <c r="B11" s="29"/>
      <c r="C11" s="29">
        <f>ROW()-ROW($C$10)</f>
        <v>1</v>
      </c>
      <c r="D11" s="30" t="s">
        <v>20</v>
      </c>
      <c r="E11" s="29" t="s">
        <v>21</v>
      </c>
      <c r="F11" s="31">
        <v>1</v>
      </c>
      <c r="G11" s="32"/>
      <c r="H11" s="70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7" s="5" customFormat="1" x14ac:dyDescent="0.25">
      <c r="A12" s="28" t="s">
        <v>15</v>
      </c>
      <c r="B12" s="29"/>
      <c r="C12" s="29">
        <f t="shared" ref="C12:C16" si="0">ROW()-ROW($C$10)</f>
        <v>2</v>
      </c>
      <c r="D12" s="30" t="s">
        <v>22</v>
      </c>
      <c r="E12" s="29" t="s">
        <v>23</v>
      </c>
      <c r="F12" s="31">
        <v>1</v>
      </c>
      <c r="G12" s="32"/>
      <c r="H12" s="70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7" s="5" customFormat="1" x14ac:dyDescent="0.25">
      <c r="A13" s="28" t="s">
        <v>15</v>
      </c>
      <c r="B13" s="29"/>
      <c r="C13" s="29">
        <f t="shared" si="0"/>
        <v>3</v>
      </c>
      <c r="D13" s="30" t="s">
        <v>24</v>
      </c>
      <c r="E13" s="29" t="s">
        <v>25</v>
      </c>
      <c r="F13" s="31">
        <v>1</v>
      </c>
      <c r="G13" s="32"/>
      <c r="H13" s="70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7" s="5" customFormat="1" x14ac:dyDescent="0.25">
      <c r="A14" s="28" t="s">
        <v>15</v>
      </c>
      <c r="B14" s="29"/>
      <c r="C14" s="29">
        <f t="shared" si="0"/>
        <v>4</v>
      </c>
      <c r="D14" s="30" t="s">
        <v>26</v>
      </c>
      <c r="E14" s="29" t="s">
        <v>27</v>
      </c>
      <c r="F14" s="31">
        <v>1</v>
      </c>
      <c r="G14" s="32"/>
      <c r="H14" s="70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7" s="5" customFormat="1" x14ac:dyDescent="0.25">
      <c r="A15" s="28" t="s">
        <v>15</v>
      </c>
      <c r="B15" s="29"/>
      <c r="C15" s="29">
        <f t="shared" si="0"/>
        <v>5</v>
      </c>
      <c r="D15" s="30" t="s">
        <v>28</v>
      </c>
      <c r="E15" s="29" t="s">
        <v>29</v>
      </c>
      <c r="F15" s="31">
        <v>1</v>
      </c>
      <c r="G15" s="32"/>
      <c r="H15" s="70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7" s="5" customFormat="1" x14ac:dyDescent="0.25">
      <c r="A16" s="28" t="s">
        <v>30</v>
      </c>
      <c r="B16" s="29"/>
      <c r="C16" s="29">
        <f t="shared" si="0"/>
        <v>6</v>
      </c>
      <c r="D16" s="30" t="s">
        <v>31</v>
      </c>
      <c r="E16" s="29" t="s">
        <v>32</v>
      </c>
      <c r="F16" s="31">
        <v>1</v>
      </c>
      <c r="G16" s="32"/>
      <c r="H16" s="70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s="5" customFormat="1" x14ac:dyDescent="0.25">
      <c r="A17" s="11"/>
      <c r="B17" s="12"/>
      <c r="C17" s="12"/>
      <c r="D17" s="13"/>
      <c r="E17" s="75" t="s">
        <v>4</v>
      </c>
      <c r="F17" s="14"/>
      <c r="G17" s="15"/>
      <c r="H17" s="72">
        <v>2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s="5" customFormat="1" x14ac:dyDescent="0.25">
      <c r="A18" s="33" t="s">
        <v>15</v>
      </c>
      <c r="B18" s="34"/>
      <c r="C18" s="34">
        <f>ROW(C1)+$C$16+$H$10</f>
        <v>9</v>
      </c>
      <c r="D18" s="35" t="s">
        <v>33</v>
      </c>
      <c r="E18" s="34" t="s">
        <v>34</v>
      </c>
      <c r="F18" s="36">
        <v>1</v>
      </c>
      <c r="G18" s="37"/>
      <c r="H18" s="70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s="5" customFormat="1" x14ac:dyDescent="0.25">
      <c r="A19" s="33" t="s">
        <v>35</v>
      </c>
      <c r="B19" s="34"/>
      <c r="C19" s="34">
        <f>ROW(C2)+$C$16+$H$10</f>
        <v>10</v>
      </c>
      <c r="D19" s="35" t="s">
        <v>36</v>
      </c>
      <c r="E19" s="34" t="s">
        <v>37</v>
      </c>
      <c r="F19" s="36">
        <v>1</v>
      </c>
      <c r="G19" s="37"/>
      <c r="H19" s="70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s="5" customFormat="1" x14ac:dyDescent="0.25">
      <c r="A20" s="11"/>
      <c r="B20" s="12"/>
      <c r="C20" s="12"/>
      <c r="D20" s="13"/>
      <c r="E20" s="76" t="s">
        <v>7</v>
      </c>
      <c r="F20" s="14"/>
      <c r="G20" s="15"/>
      <c r="H20" s="72">
        <v>2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s="5" customFormat="1" x14ac:dyDescent="0.25">
      <c r="A21" s="38"/>
      <c r="B21" s="39"/>
      <c r="C21" s="39">
        <f t="shared" ref="C21:C34" si="1">ROW(C1)+$C$19+$H$17</f>
        <v>13</v>
      </c>
      <c r="D21" s="40"/>
      <c r="E21" s="39" t="s">
        <v>38</v>
      </c>
      <c r="F21" s="41">
        <v>4</v>
      </c>
      <c r="G21" s="42"/>
      <c r="H21" s="70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s="5" customFormat="1" x14ac:dyDescent="0.25">
      <c r="A22" s="38"/>
      <c r="B22" s="39"/>
      <c r="C22" s="39">
        <f t="shared" si="1"/>
        <v>14</v>
      </c>
      <c r="D22" s="40"/>
      <c r="E22" s="39" t="s">
        <v>39</v>
      </c>
      <c r="F22" s="41">
        <v>6</v>
      </c>
      <c r="G22" s="42"/>
      <c r="H22" s="70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s="5" customFormat="1" x14ac:dyDescent="0.25">
      <c r="A23" s="38"/>
      <c r="B23" s="39"/>
      <c r="C23" s="39">
        <f t="shared" si="1"/>
        <v>15</v>
      </c>
      <c r="D23" s="40"/>
      <c r="E23" s="39" t="s">
        <v>40</v>
      </c>
      <c r="F23" s="41">
        <v>41</v>
      </c>
      <c r="G23" s="42"/>
      <c r="H23" s="70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s="5" customFormat="1" x14ac:dyDescent="0.25">
      <c r="A24" s="38"/>
      <c r="B24" s="39"/>
      <c r="C24" s="39">
        <f t="shared" si="1"/>
        <v>16</v>
      </c>
      <c r="D24" s="40"/>
      <c r="E24" s="39" t="s">
        <v>64</v>
      </c>
      <c r="F24" s="41">
        <v>2</v>
      </c>
      <c r="G24" s="42"/>
      <c r="H24" s="70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s="5" customFormat="1" x14ac:dyDescent="0.25">
      <c r="A25" s="38"/>
      <c r="B25" s="39"/>
      <c r="C25" s="39">
        <f t="shared" si="1"/>
        <v>17</v>
      </c>
      <c r="D25" s="40"/>
      <c r="E25" s="39" t="s">
        <v>65</v>
      </c>
      <c r="F25" s="41">
        <v>18</v>
      </c>
      <c r="G25" s="42"/>
      <c r="H25" s="70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s="5" customFormat="1" x14ac:dyDescent="0.25">
      <c r="A26" s="38"/>
      <c r="B26" s="39"/>
      <c r="C26" s="39">
        <f t="shared" si="1"/>
        <v>18</v>
      </c>
      <c r="D26" s="40"/>
      <c r="E26" s="39" t="s">
        <v>66</v>
      </c>
      <c r="F26" s="41">
        <v>41</v>
      </c>
      <c r="G26" s="42"/>
      <c r="H26" s="70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s="5" customFormat="1" x14ac:dyDescent="0.25">
      <c r="A27" s="38"/>
      <c r="B27" s="39"/>
      <c r="C27" s="39">
        <f t="shared" si="1"/>
        <v>19</v>
      </c>
      <c r="D27" s="40"/>
      <c r="E27" s="39" t="s">
        <v>41</v>
      </c>
      <c r="F27" s="41">
        <v>1</v>
      </c>
      <c r="G27" s="42"/>
      <c r="H27" s="70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s="5" customFormat="1" x14ac:dyDescent="0.25">
      <c r="A28" s="38"/>
      <c r="B28" s="39"/>
      <c r="C28" s="39">
        <f t="shared" si="1"/>
        <v>20</v>
      </c>
      <c r="D28" s="40"/>
      <c r="E28" s="39" t="s">
        <v>42</v>
      </c>
      <c r="F28" s="41">
        <v>1</v>
      </c>
      <c r="G28" s="42"/>
      <c r="H28" s="70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s="5" customFormat="1" ht="28.5" x14ac:dyDescent="0.25">
      <c r="A29" s="38"/>
      <c r="B29" s="39"/>
      <c r="C29" s="39">
        <f t="shared" si="1"/>
        <v>21</v>
      </c>
      <c r="D29" s="40"/>
      <c r="E29" s="68" t="s">
        <v>70</v>
      </c>
      <c r="F29" s="41">
        <v>1</v>
      </c>
      <c r="G29" s="42"/>
      <c r="H29" s="70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s="5" customFormat="1" x14ac:dyDescent="0.25">
      <c r="A30" s="38"/>
      <c r="B30" s="39"/>
      <c r="C30" s="39">
        <f t="shared" si="1"/>
        <v>22</v>
      </c>
      <c r="D30" s="40"/>
      <c r="E30" s="39" t="s">
        <v>43</v>
      </c>
      <c r="F30" s="41">
        <v>16</v>
      </c>
      <c r="G30" s="42"/>
      <c r="H30" s="70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s="5" customFormat="1" x14ac:dyDescent="0.25">
      <c r="A31" s="38"/>
      <c r="B31" s="39"/>
      <c r="C31" s="39">
        <f t="shared" si="1"/>
        <v>23</v>
      </c>
      <c r="D31" s="40"/>
      <c r="E31" s="39" t="s">
        <v>44</v>
      </c>
      <c r="F31" s="41">
        <v>6</v>
      </c>
      <c r="G31" s="42"/>
      <c r="H31" s="70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s="5" customFormat="1" x14ac:dyDescent="0.25">
      <c r="A32" s="38"/>
      <c r="B32" s="39"/>
      <c r="C32" s="39">
        <f t="shared" si="1"/>
        <v>24</v>
      </c>
      <c r="D32" s="40"/>
      <c r="E32" s="39" t="s">
        <v>45</v>
      </c>
      <c r="F32" s="41">
        <v>6</v>
      </c>
      <c r="G32" s="42"/>
      <c r="H32" s="70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7" s="5" customFormat="1" x14ac:dyDescent="0.25">
      <c r="A33" s="38"/>
      <c r="B33" s="39"/>
      <c r="C33" s="39">
        <f t="shared" si="1"/>
        <v>25</v>
      </c>
      <c r="D33" s="40"/>
      <c r="E33" s="39" t="s">
        <v>46</v>
      </c>
      <c r="F33" s="41">
        <v>30</v>
      </c>
      <c r="G33" s="42"/>
      <c r="H33" s="70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7" s="5" customFormat="1" x14ac:dyDescent="0.25">
      <c r="A34" s="38"/>
      <c r="B34" s="39"/>
      <c r="C34" s="39">
        <f t="shared" si="1"/>
        <v>26</v>
      </c>
      <c r="D34" s="40"/>
      <c r="E34" s="39" t="s">
        <v>47</v>
      </c>
      <c r="F34" s="41">
        <v>82</v>
      </c>
      <c r="G34" s="42"/>
      <c r="H34" s="70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7" s="5" customFormat="1" x14ac:dyDescent="0.25">
      <c r="A35" s="11"/>
      <c r="B35" s="12"/>
      <c r="C35" s="12"/>
      <c r="D35" s="13"/>
      <c r="E35" s="77" t="s">
        <v>8</v>
      </c>
      <c r="F35" s="14"/>
      <c r="G35" s="15"/>
      <c r="H35" s="72">
        <v>2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7" s="5" customFormat="1" ht="28.5" customHeight="1" x14ac:dyDescent="0.25">
      <c r="A36" s="43"/>
      <c r="B36" s="44"/>
      <c r="C36" s="44">
        <f>ROW(C1)+$C$34+$H$20</f>
        <v>29</v>
      </c>
      <c r="D36" s="45" t="s">
        <v>48</v>
      </c>
      <c r="E36" s="46" t="s">
        <v>56</v>
      </c>
      <c r="F36" s="47">
        <v>1</v>
      </c>
      <c r="G36" s="48" t="s">
        <v>49</v>
      </c>
      <c r="H36" s="70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7" s="5" customFormat="1" x14ac:dyDescent="0.25">
      <c r="A37" s="43"/>
      <c r="B37" s="44"/>
      <c r="C37" s="44">
        <f t="shared" ref="C37:C38" si="2">ROW(C2)+$C$34+$H$20</f>
        <v>30</v>
      </c>
      <c r="D37" s="45"/>
      <c r="E37" s="44" t="s">
        <v>50</v>
      </c>
      <c r="F37" s="47">
        <v>1</v>
      </c>
      <c r="G37" s="49" t="s">
        <v>51</v>
      </c>
      <c r="H37" s="70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7" s="5" customFormat="1" ht="48.75" customHeight="1" x14ac:dyDescent="0.25">
      <c r="A38" s="43"/>
      <c r="B38" s="44"/>
      <c r="C38" s="44">
        <f t="shared" si="2"/>
        <v>31</v>
      </c>
      <c r="D38" s="45"/>
      <c r="E38" s="46" t="s">
        <v>67</v>
      </c>
      <c r="F38" s="47">
        <v>6</v>
      </c>
      <c r="G38" s="49"/>
      <c r="H38" s="70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7" s="5" customFormat="1" x14ac:dyDescent="0.25">
      <c r="A39" s="11"/>
      <c r="B39" s="12"/>
      <c r="C39" s="12"/>
      <c r="D39" s="13"/>
      <c r="E39" s="78" t="s">
        <v>9</v>
      </c>
      <c r="F39" s="14"/>
      <c r="G39" s="15"/>
      <c r="H39" s="72">
        <v>2</v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7" s="5" customFormat="1" ht="28.5" x14ac:dyDescent="0.25">
      <c r="A40" s="50"/>
      <c r="B40" s="51"/>
      <c r="C40" s="51">
        <f>ROW(C1)+$C$38+$H$35</f>
        <v>34</v>
      </c>
      <c r="D40" s="52"/>
      <c r="E40" s="53" t="s">
        <v>68</v>
      </c>
      <c r="F40" s="54">
        <v>3750</v>
      </c>
      <c r="G40" s="55" t="s">
        <v>52</v>
      </c>
      <c r="H40" s="70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7" s="5" customFormat="1" x14ac:dyDescent="0.25">
      <c r="A41" s="50"/>
      <c r="B41" s="51"/>
      <c r="C41" s="51">
        <f t="shared" ref="C41:C43" si="3">ROW(C2)+$C$38+$H$35</f>
        <v>35</v>
      </c>
      <c r="D41" s="52"/>
      <c r="E41" s="56" t="s">
        <v>53</v>
      </c>
      <c r="F41" s="67">
        <v>2.5</v>
      </c>
      <c r="G41" s="57" t="s">
        <v>52</v>
      </c>
      <c r="H41" s="70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7" s="5" customFormat="1" x14ac:dyDescent="0.25">
      <c r="A42" s="50"/>
      <c r="B42" s="51"/>
      <c r="C42" s="51">
        <f t="shared" si="3"/>
        <v>36</v>
      </c>
      <c r="D42" s="52"/>
      <c r="E42" s="56" t="s">
        <v>54</v>
      </c>
      <c r="F42" s="67">
        <v>1.5</v>
      </c>
      <c r="G42" s="57" t="s">
        <v>52</v>
      </c>
      <c r="H42" s="70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7" s="5" customFormat="1" x14ac:dyDescent="0.25">
      <c r="A43" s="50"/>
      <c r="B43" s="51"/>
      <c r="C43" s="51">
        <f t="shared" si="3"/>
        <v>37</v>
      </c>
      <c r="D43" s="52"/>
      <c r="E43" s="56" t="s">
        <v>69</v>
      </c>
      <c r="F43" s="54">
        <v>6.2</v>
      </c>
      <c r="G43" s="58" t="s">
        <v>55</v>
      </c>
      <c r="H43" s="70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7" s="5" customFormat="1" x14ac:dyDescent="0.25">
      <c r="A44" s="11"/>
      <c r="B44" s="12"/>
      <c r="C44" s="12"/>
      <c r="D44" s="13"/>
      <c r="E44" s="79" t="s">
        <v>10</v>
      </c>
      <c r="F44" s="14"/>
      <c r="G44" s="15"/>
      <c r="H44" s="72">
        <v>2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7" s="5" customFormat="1" x14ac:dyDescent="0.25">
      <c r="A45" s="59"/>
      <c r="B45" s="60"/>
      <c r="C45" s="60"/>
      <c r="D45" s="61"/>
      <c r="E45" s="60" t="s">
        <v>2</v>
      </c>
      <c r="F45" s="62"/>
      <c r="G45" s="63"/>
      <c r="H45" s="70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7" s="5" customFormat="1" x14ac:dyDescent="0.25">
      <c r="A46" s="59"/>
      <c r="B46" s="60"/>
      <c r="C46" s="60"/>
      <c r="D46" s="61"/>
      <c r="E46" s="60" t="s">
        <v>3</v>
      </c>
      <c r="F46" s="62"/>
      <c r="G46" s="63"/>
      <c r="H46" s="70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7" s="5" customFormat="1" x14ac:dyDescent="0.25">
      <c r="A47" s="11"/>
      <c r="B47" s="12"/>
      <c r="C47" s="12"/>
      <c r="D47" s="13"/>
      <c r="E47" s="12"/>
      <c r="F47" s="14"/>
      <c r="G47" s="15"/>
      <c r="H47" s="70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4"/>
      <c r="AA47" s="4"/>
    </row>
    <row r="48" spans="1:27" s="5" customFormat="1" x14ac:dyDescent="0.25">
      <c r="A48" s="11"/>
      <c r="B48" s="12"/>
      <c r="C48" s="12"/>
      <c r="D48" s="13"/>
      <c r="E48" s="12"/>
      <c r="F48" s="14"/>
      <c r="G48" s="15"/>
      <c r="H48" s="70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4"/>
      <c r="AA48" s="4"/>
    </row>
    <row r="49" spans="1:27" s="5" customFormat="1" x14ac:dyDescent="0.25">
      <c r="A49" s="11"/>
      <c r="B49" s="12"/>
      <c r="C49" s="12"/>
      <c r="D49" s="13"/>
      <c r="E49" s="12"/>
      <c r="F49" s="14"/>
      <c r="G49" s="15"/>
      <c r="H49" s="70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4"/>
      <c r="AA49" s="4"/>
    </row>
    <row r="50" spans="1:27" s="5" customFormat="1" x14ac:dyDescent="0.25">
      <c r="A50" s="11"/>
      <c r="B50" s="12"/>
      <c r="C50" s="12"/>
      <c r="D50" s="13"/>
      <c r="E50" s="12"/>
      <c r="F50" s="14"/>
      <c r="G50" s="15"/>
      <c r="H50" s="70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4"/>
      <c r="AA50" s="4"/>
    </row>
    <row r="51" spans="1:27" s="5" customFormat="1" x14ac:dyDescent="0.25">
      <c r="A51" s="11"/>
      <c r="B51" s="12"/>
      <c r="C51" s="12"/>
      <c r="D51" s="13"/>
      <c r="E51" s="12"/>
      <c r="F51" s="14"/>
      <c r="G51" s="15"/>
      <c r="H51" s="70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4"/>
      <c r="AA51" s="4"/>
    </row>
    <row r="52" spans="1:27" s="5" customFormat="1" x14ac:dyDescent="0.25">
      <c r="A52" s="11"/>
      <c r="B52" s="12"/>
      <c r="C52" s="12"/>
      <c r="D52" s="13"/>
      <c r="E52" s="12"/>
      <c r="F52" s="14"/>
      <c r="G52" s="15"/>
      <c r="H52" s="70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4"/>
      <c r="AA52" s="4"/>
    </row>
    <row r="53" spans="1:27" s="5" customFormat="1" x14ac:dyDescent="0.25">
      <c r="A53" s="11"/>
      <c r="B53" s="12"/>
      <c r="C53" s="12"/>
      <c r="D53" s="13"/>
      <c r="E53" s="12"/>
      <c r="F53" s="14"/>
      <c r="G53" s="15"/>
      <c r="H53" s="70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4"/>
      <c r="AA53" s="4"/>
    </row>
    <row r="54" spans="1:27" s="5" customFormat="1" x14ac:dyDescent="0.25">
      <c r="A54" s="11"/>
      <c r="B54" s="12"/>
      <c r="C54" s="12"/>
      <c r="D54" s="13"/>
      <c r="E54" s="12"/>
      <c r="F54" s="14"/>
      <c r="G54" s="15"/>
      <c r="H54" s="70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4"/>
      <c r="AA54" s="4"/>
    </row>
    <row r="55" spans="1:27" s="5" customFormat="1" x14ac:dyDescent="0.25">
      <c r="A55" s="11"/>
      <c r="B55" s="12"/>
      <c r="C55" s="12"/>
      <c r="D55" s="13"/>
      <c r="E55" s="12"/>
      <c r="F55" s="14"/>
      <c r="G55" s="15"/>
      <c r="H55" s="70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4"/>
      <c r="AA55" s="4"/>
    </row>
    <row r="56" spans="1:27" s="5" customFormat="1" x14ac:dyDescent="0.25">
      <c r="A56" s="11"/>
      <c r="B56" s="12"/>
      <c r="C56" s="12"/>
      <c r="D56" s="13"/>
      <c r="E56" s="12"/>
      <c r="F56" s="14"/>
      <c r="G56" s="15"/>
      <c r="H56" s="70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4"/>
      <c r="AA56" s="4"/>
    </row>
    <row r="57" spans="1:27" s="5" customFormat="1" x14ac:dyDescent="0.25">
      <c r="A57" s="11"/>
      <c r="B57" s="12"/>
      <c r="C57" s="12"/>
      <c r="D57" s="13"/>
      <c r="E57" s="12"/>
      <c r="F57" s="14"/>
      <c r="G57" s="15"/>
      <c r="H57" s="70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4"/>
      <c r="AA57" s="4"/>
    </row>
    <row r="58" spans="1:27" s="5" customFormat="1" x14ac:dyDescent="0.25">
      <c r="A58" s="11"/>
      <c r="B58" s="12"/>
      <c r="C58" s="12"/>
      <c r="D58" s="13"/>
      <c r="E58" s="12"/>
      <c r="F58" s="14"/>
      <c r="G58" s="15"/>
      <c r="H58" s="70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4"/>
      <c r="AA58" s="4"/>
    </row>
    <row r="59" spans="1:27" s="5" customFormat="1" x14ac:dyDescent="0.25">
      <c r="A59" s="11"/>
      <c r="B59" s="12"/>
      <c r="C59" s="12"/>
      <c r="D59" s="13"/>
      <c r="E59" s="12"/>
      <c r="F59" s="14"/>
      <c r="G59" s="15"/>
      <c r="H59" s="70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4"/>
      <c r="AA59" s="4"/>
    </row>
    <row r="60" spans="1:27" s="5" customFormat="1" x14ac:dyDescent="0.25">
      <c r="A60" s="11"/>
      <c r="B60" s="12"/>
      <c r="C60" s="12"/>
      <c r="D60" s="13"/>
      <c r="E60" s="12"/>
      <c r="F60" s="14"/>
      <c r="G60" s="15"/>
      <c r="H60" s="70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4"/>
      <c r="AA60" s="4"/>
    </row>
    <row r="61" spans="1:27" s="5" customFormat="1" x14ac:dyDescent="0.25">
      <c r="A61" s="11"/>
      <c r="B61" s="12"/>
      <c r="C61" s="12"/>
      <c r="D61" s="13"/>
      <c r="E61" s="12"/>
      <c r="F61" s="14"/>
      <c r="G61" s="15"/>
      <c r="H61" s="70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4"/>
      <c r="AA61" s="4"/>
    </row>
    <row r="62" spans="1:27" s="5" customFormat="1" x14ac:dyDescent="0.25">
      <c r="A62" s="11"/>
      <c r="B62" s="12"/>
      <c r="C62" s="12"/>
      <c r="D62" s="13"/>
      <c r="E62" s="12"/>
      <c r="F62" s="14"/>
      <c r="G62" s="15"/>
      <c r="H62" s="70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4"/>
      <c r="AA62" s="4"/>
    </row>
    <row r="63" spans="1:27" s="5" customFormat="1" x14ac:dyDescent="0.25">
      <c r="A63" s="11"/>
      <c r="B63" s="12"/>
      <c r="C63" s="12"/>
      <c r="D63" s="13"/>
      <c r="E63" s="12"/>
      <c r="F63" s="14"/>
      <c r="G63" s="15"/>
      <c r="H63" s="70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4"/>
      <c r="AA63" s="4"/>
    </row>
    <row r="64" spans="1:27" s="5" customFormat="1" x14ac:dyDescent="0.25">
      <c r="A64" s="11"/>
      <c r="B64" s="12"/>
      <c r="C64" s="12"/>
      <c r="D64" s="13"/>
      <c r="E64" s="12"/>
      <c r="F64" s="14"/>
      <c r="G64" s="15"/>
      <c r="H64" s="70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4"/>
      <c r="AA64" s="4"/>
    </row>
    <row r="65" spans="1:27" s="5" customFormat="1" x14ac:dyDescent="0.25">
      <c r="A65" s="11"/>
      <c r="B65" s="12"/>
      <c r="C65" s="12"/>
      <c r="D65" s="13"/>
      <c r="E65" s="12"/>
      <c r="F65" s="14"/>
      <c r="G65" s="15"/>
      <c r="H65" s="70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4"/>
      <c r="AA65" s="4"/>
    </row>
    <row r="66" spans="1:27" s="5" customFormat="1" x14ac:dyDescent="0.25">
      <c r="A66" s="11"/>
      <c r="B66" s="12"/>
      <c r="C66" s="12"/>
      <c r="D66" s="13"/>
      <c r="E66" s="12"/>
      <c r="F66" s="14"/>
      <c r="G66" s="15"/>
      <c r="H66" s="70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4"/>
      <c r="AA66" s="4"/>
    </row>
    <row r="67" spans="1:27" s="5" customFormat="1" x14ac:dyDescent="0.25">
      <c r="A67" s="11"/>
      <c r="B67" s="12"/>
      <c r="C67" s="12"/>
      <c r="D67" s="13"/>
      <c r="E67" s="12"/>
      <c r="F67" s="14"/>
      <c r="G67" s="15"/>
      <c r="H67" s="70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4"/>
      <c r="AA67" s="4"/>
    </row>
    <row r="68" spans="1:27" s="5" customFormat="1" x14ac:dyDescent="0.25">
      <c r="A68" s="11"/>
      <c r="B68" s="12"/>
      <c r="C68" s="12"/>
      <c r="D68" s="13"/>
      <c r="E68" s="12"/>
      <c r="F68" s="14"/>
      <c r="G68" s="15"/>
      <c r="H68" s="70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4"/>
      <c r="AA68" s="4"/>
    </row>
    <row r="69" spans="1:27" s="5" customFormat="1" x14ac:dyDescent="0.25">
      <c r="A69" s="11"/>
      <c r="B69" s="12"/>
      <c r="C69" s="12"/>
      <c r="D69" s="13"/>
      <c r="E69" s="12"/>
      <c r="F69" s="14"/>
      <c r="G69" s="15"/>
      <c r="H69" s="70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4"/>
      <c r="AA69" s="4"/>
    </row>
    <row r="70" spans="1:27" s="5" customFormat="1" x14ac:dyDescent="0.25">
      <c r="A70" s="11"/>
      <c r="B70" s="12"/>
      <c r="C70" s="12"/>
      <c r="D70" s="13"/>
      <c r="E70" s="12"/>
      <c r="F70" s="14"/>
      <c r="G70" s="15"/>
      <c r="H70" s="70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4"/>
      <c r="AA70" s="4"/>
    </row>
    <row r="71" spans="1:27" s="5" customFormat="1" x14ac:dyDescent="0.25">
      <c r="A71" s="11"/>
      <c r="B71" s="12"/>
      <c r="C71" s="12"/>
      <c r="D71" s="13"/>
      <c r="E71" s="12"/>
      <c r="F71" s="14"/>
      <c r="G71" s="15"/>
      <c r="H71" s="70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4"/>
      <c r="AA71" s="4"/>
    </row>
    <row r="72" spans="1:27" s="5" customFormat="1" x14ac:dyDescent="0.25">
      <c r="A72" s="11"/>
      <c r="B72" s="12"/>
      <c r="C72" s="12"/>
      <c r="D72" s="13"/>
      <c r="E72" s="12"/>
      <c r="F72" s="14"/>
      <c r="G72" s="15"/>
      <c r="H72" s="70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4"/>
      <c r="AA72" s="4"/>
    </row>
    <row r="73" spans="1:27" s="5" customFormat="1" x14ac:dyDescent="0.25">
      <c r="A73" s="11"/>
      <c r="B73" s="12"/>
      <c r="C73" s="12"/>
      <c r="D73" s="13"/>
      <c r="E73" s="12"/>
      <c r="F73" s="14"/>
      <c r="G73" s="15"/>
      <c r="H73" s="70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4"/>
      <c r="AA73" s="4"/>
    </row>
    <row r="74" spans="1:27" s="5" customFormat="1" x14ac:dyDescent="0.25">
      <c r="A74" s="11"/>
      <c r="B74" s="12"/>
      <c r="C74" s="12"/>
      <c r="D74" s="13"/>
      <c r="E74" s="12"/>
      <c r="F74" s="14"/>
      <c r="G74" s="15"/>
      <c r="H74" s="70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4"/>
      <c r="AA74" s="4"/>
    </row>
    <row r="75" spans="1:27" s="5" customFormat="1" x14ac:dyDescent="0.25">
      <c r="A75" s="11"/>
      <c r="B75" s="12"/>
      <c r="C75" s="12"/>
      <c r="D75" s="13"/>
      <c r="E75" s="12"/>
      <c r="F75" s="14"/>
      <c r="G75" s="15"/>
      <c r="H75" s="70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4"/>
      <c r="AA75" s="4"/>
    </row>
    <row r="76" spans="1:27" s="5" customFormat="1" x14ac:dyDescent="0.25">
      <c r="A76" s="11"/>
      <c r="B76" s="12"/>
      <c r="C76" s="12"/>
      <c r="D76" s="13"/>
      <c r="E76" s="12"/>
      <c r="F76" s="14"/>
      <c r="G76" s="15"/>
      <c r="H76" s="70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4"/>
      <c r="AA76" s="4"/>
    </row>
    <row r="77" spans="1:27" s="5" customFormat="1" x14ac:dyDescent="0.25">
      <c r="A77" s="11"/>
      <c r="B77" s="12"/>
      <c r="C77" s="12"/>
      <c r="D77" s="13"/>
      <c r="E77" s="12"/>
      <c r="F77" s="14"/>
      <c r="G77" s="15"/>
      <c r="H77" s="70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4"/>
      <c r="AA77" s="4"/>
    </row>
    <row r="78" spans="1:27" s="5" customFormat="1" x14ac:dyDescent="0.25">
      <c r="A78" s="11"/>
      <c r="B78" s="12"/>
      <c r="C78" s="12"/>
      <c r="D78" s="13"/>
      <c r="E78" s="12"/>
      <c r="F78" s="14"/>
      <c r="G78" s="15"/>
      <c r="H78" s="70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4"/>
      <c r="AA78" s="4"/>
    </row>
    <row r="79" spans="1:27" s="5" customFormat="1" x14ac:dyDescent="0.25">
      <c r="A79" s="11"/>
      <c r="B79" s="12"/>
      <c r="C79" s="12"/>
      <c r="D79" s="13"/>
      <c r="E79" s="12"/>
      <c r="F79" s="14"/>
      <c r="G79" s="15"/>
      <c r="H79" s="70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4"/>
      <c r="AA79" s="4"/>
    </row>
    <row r="80" spans="1:27" s="5" customFormat="1" x14ac:dyDescent="0.25">
      <c r="A80" s="11"/>
      <c r="B80" s="12"/>
      <c r="C80" s="12"/>
      <c r="D80" s="13"/>
      <c r="E80" s="12"/>
      <c r="F80" s="14"/>
      <c r="G80" s="15"/>
      <c r="H80" s="70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4"/>
      <c r="AA80" s="4"/>
    </row>
    <row r="81" spans="1:27" s="5" customFormat="1" x14ac:dyDescent="0.25">
      <c r="A81" s="11"/>
      <c r="B81" s="12"/>
      <c r="C81" s="12"/>
      <c r="D81" s="13"/>
      <c r="E81" s="12"/>
      <c r="F81" s="14"/>
      <c r="G81" s="15"/>
      <c r="H81" s="70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4"/>
      <c r="AA81" s="4"/>
    </row>
    <row r="82" spans="1:27" s="5" customFormat="1" x14ac:dyDescent="0.25">
      <c r="A82" s="11"/>
      <c r="B82" s="12"/>
      <c r="C82" s="12"/>
      <c r="D82" s="13"/>
      <c r="E82" s="12"/>
      <c r="F82" s="14"/>
      <c r="G82" s="15"/>
      <c r="H82" s="70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4"/>
      <c r="AA82" s="4"/>
    </row>
    <row r="83" spans="1:27" s="5" customFormat="1" x14ac:dyDescent="0.25">
      <c r="A83" s="11"/>
      <c r="B83" s="12"/>
      <c r="C83" s="12"/>
      <c r="D83" s="13"/>
      <c r="E83" s="12"/>
      <c r="F83" s="14"/>
      <c r="G83" s="15"/>
      <c r="H83" s="70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4"/>
      <c r="AA83" s="4"/>
    </row>
    <row r="84" spans="1:27" s="5" customFormat="1" x14ac:dyDescent="0.25">
      <c r="A84" s="11"/>
      <c r="B84" s="12"/>
      <c r="C84" s="12"/>
      <c r="D84" s="13"/>
      <c r="E84" s="12"/>
      <c r="F84" s="14"/>
      <c r="G84" s="15"/>
      <c r="H84" s="70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4"/>
      <c r="AA84" s="4"/>
    </row>
    <row r="85" spans="1:27" s="5" customFormat="1" x14ac:dyDescent="0.25">
      <c r="A85" s="11"/>
      <c r="B85" s="12"/>
      <c r="C85" s="12"/>
      <c r="D85" s="13"/>
      <c r="E85" s="12"/>
      <c r="F85" s="14"/>
      <c r="G85" s="15"/>
      <c r="H85" s="70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4"/>
      <c r="AA85" s="4"/>
    </row>
    <row r="86" spans="1:27" s="5" customFormat="1" x14ac:dyDescent="0.25">
      <c r="A86" s="11"/>
      <c r="B86" s="12"/>
      <c r="C86" s="12"/>
      <c r="D86" s="13"/>
      <c r="E86" s="12"/>
      <c r="F86" s="14"/>
      <c r="G86" s="15"/>
      <c r="H86" s="70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4"/>
      <c r="AA86" s="4"/>
    </row>
    <row r="87" spans="1:27" s="5" customFormat="1" x14ac:dyDescent="0.25">
      <c r="A87" s="11"/>
      <c r="B87" s="12"/>
      <c r="C87" s="12"/>
      <c r="D87" s="13"/>
      <c r="E87" s="12"/>
      <c r="F87" s="14"/>
      <c r="G87" s="15"/>
      <c r="H87" s="70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4"/>
      <c r="AA87" s="4"/>
    </row>
    <row r="88" spans="1:27" s="5" customFormat="1" x14ac:dyDescent="0.25">
      <c r="A88" s="11"/>
      <c r="B88" s="12"/>
      <c r="C88" s="12"/>
      <c r="D88" s="13"/>
      <c r="E88" s="12"/>
      <c r="F88" s="14"/>
      <c r="G88" s="15"/>
      <c r="H88" s="70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4"/>
      <c r="AA88" s="4"/>
    </row>
    <row r="89" spans="1:27" s="5" customFormat="1" x14ac:dyDescent="0.25">
      <c r="A89" s="11"/>
      <c r="B89" s="12"/>
      <c r="C89" s="12"/>
      <c r="D89" s="13"/>
      <c r="E89" s="12"/>
      <c r="F89" s="14"/>
      <c r="G89" s="15"/>
      <c r="H89" s="70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4"/>
      <c r="AA89" s="4"/>
    </row>
    <row r="90" spans="1:27" s="5" customFormat="1" x14ac:dyDescent="0.25">
      <c r="A90" s="11"/>
      <c r="B90" s="12"/>
      <c r="C90" s="12"/>
      <c r="D90" s="13"/>
      <c r="E90" s="12"/>
      <c r="F90" s="14"/>
      <c r="G90" s="15"/>
      <c r="H90" s="70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4"/>
      <c r="AA90" s="4"/>
    </row>
    <row r="91" spans="1:27" s="5" customFormat="1" x14ac:dyDescent="0.25">
      <c r="A91" s="11"/>
      <c r="B91" s="12"/>
      <c r="C91" s="12"/>
      <c r="D91" s="13"/>
      <c r="E91" s="12"/>
      <c r="F91" s="14"/>
      <c r="G91" s="15"/>
      <c r="H91" s="70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4"/>
      <c r="AA91" s="4"/>
    </row>
    <row r="92" spans="1:27" s="5" customFormat="1" x14ac:dyDescent="0.25">
      <c r="A92" s="11"/>
      <c r="B92" s="12"/>
      <c r="C92" s="12"/>
      <c r="D92" s="13"/>
      <c r="E92" s="12"/>
      <c r="F92" s="14"/>
      <c r="G92" s="15"/>
      <c r="H92" s="70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4"/>
      <c r="AA92" s="4"/>
    </row>
    <row r="93" spans="1:27" s="5" customFormat="1" x14ac:dyDescent="0.25">
      <c r="A93" s="11"/>
      <c r="B93" s="12"/>
      <c r="C93" s="12"/>
      <c r="D93" s="13"/>
      <c r="E93" s="12"/>
      <c r="F93" s="14"/>
      <c r="G93" s="15"/>
      <c r="H93" s="70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4"/>
      <c r="AA93" s="4"/>
    </row>
    <row r="94" spans="1:27" s="5" customFormat="1" x14ac:dyDescent="0.25">
      <c r="A94" s="11"/>
      <c r="B94" s="12"/>
      <c r="C94" s="12"/>
      <c r="D94" s="13"/>
      <c r="E94" s="12"/>
      <c r="F94" s="14"/>
      <c r="G94" s="15"/>
      <c r="H94" s="70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4"/>
      <c r="AA94" s="4"/>
    </row>
    <row r="95" spans="1:27" s="5" customFormat="1" x14ac:dyDescent="0.25">
      <c r="A95" s="11"/>
      <c r="B95" s="12"/>
      <c r="C95" s="12"/>
      <c r="D95" s="13"/>
      <c r="E95" s="12"/>
      <c r="F95" s="14"/>
      <c r="G95" s="15"/>
      <c r="H95" s="70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4"/>
      <c r="AA95" s="4"/>
    </row>
    <row r="96" spans="1:27" s="5" customFormat="1" x14ac:dyDescent="0.25">
      <c r="A96" s="11"/>
      <c r="B96" s="12"/>
      <c r="C96" s="12"/>
      <c r="D96" s="13"/>
      <c r="E96" s="12"/>
      <c r="F96" s="14"/>
      <c r="G96" s="15"/>
      <c r="H96" s="70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4"/>
      <c r="AA96" s="4"/>
    </row>
    <row r="97" spans="1:27" s="5" customFormat="1" x14ac:dyDescent="0.25">
      <c r="A97" s="11"/>
      <c r="B97" s="12"/>
      <c r="C97" s="12"/>
      <c r="D97" s="13"/>
      <c r="E97" s="12"/>
      <c r="F97" s="14"/>
      <c r="G97" s="15"/>
      <c r="H97" s="70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4"/>
      <c r="AA97" s="4"/>
    </row>
    <row r="98" spans="1:27" s="5" customFormat="1" x14ac:dyDescent="0.25">
      <c r="A98" s="11"/>
      <c r="B98" s="12"/>
      <c r="C98" s="12"/>
      <c r="D98" s="13"/>
      <c r="E98" s="12"/>
      <c r="F98" s="14"/>
      <c r="G98" s="15"/>
      <c r="H98" s="70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4"/>
      <c r="AA98" s="4"/>
    </row>
    <row r="99" spans="1:27" s="5" customFormat="1" x14ac:dyDescent="0.25">
      <c r="A99" s="11"/>
      <c r="B99" s="12"/>
      <c r="C99" s="12"/>
      <c r="D99" s="13"/>
      <c r="E99" s="12"/>
      <c r="F99" s="14"/>
      <c r="G99" s="15"/>
      <c r="H99" s="70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4"/>
      <c r="AA99" s="4"/>
    </row>
    <row r="100" spans="1:27" s="5" customFormat="1" x14ac:dyDescent="0.25">
      <c r="A100" s="11"/>
      <c r="B100" s="12"/>
      <c r="C100" s="12"/>
      <c r="D100" s="13"/>
      <c r="E100" s="12"/>
      <c r="F100" s="14"/>
      <c r="G100" s="15"/>
      <c r="H100" s="70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4"/>
      <c r="AA100" s="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Выберите другое значение" promptTitle="Резервные строки" prompt="Количество резервных строк">
          <x14:formula1>
            <xm:f>Лист2!$A$1:$A$10</xm:f>
          </x14:formula1>
          <xm:sqref>H2 H7 H10 H17 H20 H35 H39 H44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10"/>
  <sheetViews>
    <sheetView workbookViewId="0">
      <selection activeCell="B6" sqref="B6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1</v>
      </c>
    </row>
    <row r="3" spans="1:1" x14ac:dyDescent="0.25">
      <c r="A3">
        <v>2</v>
      </c>
    </row>
    <row r="4" spans="1:1" x14ac:dyDescent="0.25">
      <c r="A4">
        <v>3</v>
      </c>
    </row>
    <row r="5" spans="1:1" x14ac:dyDescent="0.25">
      <c r="A5">
        <v>4</v>
      </c>
    </row>
    <row r="6" spans="1:1" x14ac:dyDescent="0.25">
      <c r="A6">
        <v>5</v>
      </c>
    </row>
    <row r="7" spans="1:1" x14ac:dyDescent="0.25">
      <c r="A7">
        <v>6</v>
      </c>
    </row>
    <row r="8" spans="1:1" x14ac:dyDescent="0.25">
      <c r="A8">
        <v>7</v>
      </c>
    </row>
    <row r="9" spans="1:1" x14ac:dyDescent="0.25">
      <c r="A9">
        <v>8</v>
      </c>
    </row>
    <row r="10" spans="1:1" x14ac:dyDescent="0.25">
      <c r="A10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2019-08-29T13:10:35Z</dcterms:modified>
</cp:coreProperties>
</file>